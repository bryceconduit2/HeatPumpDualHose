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anheater" sheetId="1" state="visible" r:id="rId2"/>
    <sheet name="heat pump" sheetId="2" state="visible" r:id="rId3"/>
    <sheet name="heat_pump_COP" sheetId="3" state="visible" r:id="rId4"/>
    <sheet name="Sheet2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<sst xmlns="http://schemas.openxmlformats.org/spreadsheetml/2006/main" count="42" uniqueCount="32">
  <si>
    <t xml:space="preserve">kg/s</t>
  </si>
  <si>
    <t xml:space="preserve">m</t>
  </si>
  <si>
    <t xml:space="preserve">v</t>
  </si>
  <si>
    <t xml:space="preserve">c</t>
  </si>
  <si>
    <t xml:space="preserve">outer</t>
  </si>
  <si>
    <t xml:space="preserve">theta</t>
  </si>
  <si>
    <t xml:space="preserve">inner</t>
  </si>
  <si>
    <t xml:space="preserve">volume per second</t>
  </si>
  <si>
    <t xml:space="preserve">power</t>
  </si>
  <si>
    <t xml:space="preserve">input</t>
  </si>
  <si>
    <t xml:space="preserve">power in /kW</t>
  </si>
  <si>
    <t xml:space="preserve">temp in /C</t>
  </si>
  <si>
    <t xml:space="preserve">temp out /C</t>
  </si>
  <si>
    <t xml:space="preserve">c air, KJ/K/kg</t>
  </si>
  <si>
    <t xml:space="preserve">humidiyu</t>
  </si>
  <si>
    <t xml:space="preserve">theta /K</t>
  </si>
  <si>
    <t xml:space="preserve">massflow kg/s</t>
  </si>
  <si>
    <t xml:space="preserve">power out /kW</t>
  </si>
  <si>
    <t xml:space="preserve">COP</t>
  </si>
  <si>
    <t xml:space="preserve">v low</t>
  </si>
  <si>
    <t xml:space="preserve">v high</t>
  </si>
  <si>
    <t xml:space="preserve">width</t>
  </si>
  <si>
    <t xml:space="preserve">height</t>
  </si>
  <si>
    <t xml:space="preserve">Electricity Power in /kW</t>
  </si>
  <si>
    <t xml:space="preserve">Source Temperature /C</t>
  </si>
  <si>
    <t xml:space="preserve">Room In Temperature /C</t>
  </si>
  <si>
    <t xml:space="preserve">Room Out Temperature /C</t>
  </si>
  <si>
    <t xml:space="preserve">Estimated c air, KJ/K/kg</t>
  </si>
  <si>
    <t xml:space="preserve">Humidity air kg/kg</t>
  </si>
  <si>
    <t xml:space="preserve">Room Out-In /K</t>
  </si>
  <si>
    <t xml:space="preserve">Heat Pump Flow kg/s</t>
  </si>
  <si>
    <t xml:space="preserve">Est Heating Power Out /kW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</si>
</sst>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b val="true"/>
      <sz val="11"/>
      <color rgb="FF000000"/>
      <name val="Calibri"/>
      <family val="2"/>
      <charset val="1"/>
    </font>
    <font>
      <sz val="16"/>
      <color rgb="FF595959"/>
      <name val="Calibri"/>
      <family val="2"/>
    </font>
    <font>
      <sz val="18"/>
      <color rgb="FF595959"/>
      <name val="Calibri"/>
      <family val="2"/>
    </font>
    <font>
      <sz val="11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COP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fanheater!$I$17</c:f>
              <c:strCache>
                <c:ptCount val="1"/>
                <c:pt idx="0">
                  <c:v>COP</c:v>
                </c:pt>
              </c:strCache>
            </c:strRef>
          </c:tx>
          <c:spPr>
            <a:solidFill>
              <a:srgbClr val="5b9bd5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numFmt formatCode="General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fanheater!$C$18:$C$24</c:f>
              <c:numCache>
                <c:formatCode>General</c:formatCode>
                <c:ptCount val="7"/>
                <c:pt idx="0">
                  <c:v>50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fanheater!$I$18:$I$24</c:f>
              <c:numCache>
                <c:formatCode>General</c:formatCode>
                <c:ptCount val="7"/>
                <c:pt idx="0">
                  <c:v>1.18456828256439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</c:numCache>
            </c:numRef>
          </c:yVal>
          <c:smooth val="0"/>
        </c:ser>
        <c:axId val="60213313"/>
        <c:axId val="28222672"/>
      </c:scatterChart>
      <c:valAx>
        <c:axId val="6021331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8222672"/>
        <c:crosses val="autoZero"/>
        <c:crossBetween val="midCat"/>
      </c:valAx>
      <c:valAx>
        <c:axId val="282226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0213313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6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600" spc="-1" strike="noStrike">
                <a:solidFill>
                  <a:srgbClr val="595959"/>
                </a:solidFill>
                <a:latin typeface="Calibri"/>
              </a:rPr>
              <a:t>COP Costway portable heat pump (dual hose mode)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'heat pump'!$J$17</c:f>
              <c:strCache>
                <c:ptCount val="1"/>
                <c:pt idx="0">
                  <c:v>COP</c:v>
                </c:pt>
              </c:strCache>
            </c:strRef>
          </c:tx>
          <c:spPr>
            <a:solidFill>
              <a:srgbClr val="5b9bd5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numFmt formatCode="General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trendline>
            <c:spPr>
              <a:ln cap="rnd" w="19080">
                <a:solidFill>
                  <a:srgbClr val="5b9bd5"/>
                </a:solidFill>
                <a:prstDash val="sysDot"/>
                <a:round/>
              </a:ln>
            </c:spPr>
            <c:trendlineType val="linear"/>
            <c:forward val="4"/>
            <c:backward val="8"/>
            <c:dispRSqr val="1"/>
            <c:dispEq val="1"/>
          </c:trendline>
          <c:xVal>
            <c:numRef>
              <c:f>'heat pump'!$B$18:$B$280</c:f>
              <c:numCache>
                <c:formatCode>General</c:formatCode>
                <c:ptCount val="263"/>
                <c:pt idx="0">
                  <c:v>8.5</c:v>
                </c:pt>
                <c:pt idx="1">
                  <c:v>22.6</c:v>
                </c:pt>
                <c:pt idx="2">
                  <c:v>17</c:v>
                </c:pt>
                <c:pt idx="3">
                  <c:v>17.2</c:v>
                </c:pt>
                <c:pt idx="4">
                  <c:v>17.2</c:v>
                </c:pt>
                <c:pt idx="5">
                  <c:v>14.8</c:v>
                </c:pt>
                <c:pt idx="6">
                  <c:v>14.6</c:v>
                </c:pt>
                <c:pt idx="7">
                  <c:v>14.45</c:v>
                </c:pt>
                <c:pt idx="8">
                  <c:v>12.6</c:v>
                </c:pt>
                <c:pt idx="9">
                  <c:v>12.2</c:v>
                </c:pt>
                <c:pt idx="10">
                  <c:v>10.3</c:v>
                </c:pt>
                <c:pt idx="11">
                  <c:v>10.3</c:v>
                </c:pt>
                <c:pt idx="12">
                  <c:v>14</c:v>
                </c:pt>
                <c:pt idx="13">
                  <c:v>14</c:v>
                </c:pt>
                <c:pt idx="14">
                  <c:v>10.5</c:v>
                </c:pt>
                <c:pt idx="15">
                  <c:v>8.5</c:v>
                </c:pt>
                <c:pt idx="16">
                  <c:v>6.4</c:v>
                </c:pt>
                <c:pt idx="17">
                  <c:v>3</c:v>
                </c:pt>
                <c:pt idx="18">
                  <c:v>6.8</c:v>
                </c:pt>
                <c:pt idx="19">
                  <c:v>6.4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11</c:v>
                </c:pt>
                <c:pt idx="31">
                  <c:v>12</c:v>
                </c:pt>
                <c:pt idx="32">
                  <c:v>13</c:v>
                </c:pt>
                <c:pt idx="33">
                  <c:v>14</c:v>
                </c:pt>
                <c:pt idx="34">
                  <c:v>15</c:v>
                </c:pt>
                <c:pt idx="35">
                  <c:v>16</c:v>
                </c:pt>
                <c:pt idx="36">
                  <c:v>17</c:v>
                </c:pt>
                <c:pt idx="37">
                  <c:v>18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22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26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30</c:v>
                </c:pt>
                <c:pt idx="50">
                  <c:v>31</c:v>
                </c:pt>
                <c:pt idx="51">
                  <c:v>32</c:v>
                </c:pt>
                <c:pt idx="52">
                  <c:v>33</c:v>
                </c:pt>
                <c:pt idx="53">
                  <c:v>34</c:v>
                </c:pt>
                <c:pt idx="54">
                  <c:v>35</c:v>
                </c:pt>
                <c:pt idx="55">
                  <c:v>36</c:v>
                </c:pt>
                <c:pt idx="56">
                  <c:v>37</c:v>
                </c:pt>
                <c:pt idx="57">
                  <c:v>38</c:v>
                </c:pt>
                <c:pt idx="58">
                  <c:v>39</c:v>
                </c:pt>
                <c:pt idx="59">
                  <c:v>40</c:v>
                </c:pt>
                <c:pt idx="60">
                  <c:v>41</c:v>
                </c:pt>
                <c:pt idx="61">
                  <c:v>42</c:v>
                </c:pt>
                <c:pt idx="62">
                  <c:v>43</c:v>
                </c:pt>
                <c:pt idx="63">
                  <c:v>44</c:v>
                </c:pt>
                <c:pt idx="64">
                  <c:v>45</c:v>
                </c:pt>
                <c:pt idx="65">
                  <c:v>46</c:v>
                </c:pt>
                <c:pt idx="66">
                  <c:v>47</c:v>
                </c:pt>
                <c:pt idx="67">
                  <c:v>48</c:v>
                </c:pt>
                <c:pt idx="68">
                  <c:v>49</c:v>
                </c:pt>
                <c:pt idx="69">
                  <c:v>50</c:v>
                </c:pt>
                <c:pt idx="70">
                  <c:v>51</c:v>
                </c:pt>
                <c:pt idx="71">
                  <c:v>52</c:v>
                </c:pt>
                <c:pt idx="72">
                  <c:v>53</c:v>
                </c:pt>
                <c:pt idx="73">
                  <c:v>54</c:v>
                </c:pt>
                <c:pt idx="74">
                  <c:v>55</c:v>
                </c:pt>
                <c:pt idx="75">
                  <c:v>56</c:v>
                </c:pt>
                <c:pt idx="76">
                  <c:v>57</c:v>
                </c:pt>
                <c:pt idx="77">
                  <c:v>58</c:v>
                </c:pt>
                <c:pt idx="78">
                  <c:v>59</c:v>
                </c:pt>
                <c:pt idx="79">
                  <c:v>60</c:v>
                </c:pt>
                <c:pt idx="80">
                  <c:v>61</c:v>
                </c:pt>
                <c:pt idx="81">
                  <c:v>62</c:v>
                </c:pt>
                <c:pt idx="82">
                  <c:v>63</c:v>
                </c:pt>
                <c:pt idx="83">
                  <c:v>64</c:v>
                </c:pt>
                <c:pt idx="84">
                  <c:v>65</c:v>
                </c:pt>
                <c:pt idx="85">
                  <c:v>66</c:v>
                </c:pt>
                <c:pt idx="86">
                  <c:v>67</c:v>
                </c:pt>
                <c:pt idx="87">
                  <c:v>68</c:v>
                </c:pt>
                <c:pt idx="88">
                  <c:v>69</c:v>
                </c:pt>
                <c:pt idx="89">
                  <c:v>70</c:v>
                </c:pt>
                <c:pt idx="90">
                  <c:v>71</c:v>
                </c:pt>
                <c:pt idx="91">
                  <c:v>72</c:v>
                </c:pt>
                <c:pt idx="92">
                  <c:v>73</c:v>
                </c:pt>
                <c:pt idx="93">
                  <c:v>74</c:v>
                </c:pt>
                <c:pt idx="94">
                  <c:v>75</c:v>
                </c:pt>
                <c:pt idx="95">
                  <c:v>76</c:v>
                </c:pt>
                <c:pt idx="96">
                  <c:v>77</c:v>
                </c:pt>
                <c:pt idx="97">
                  <c:v>78</c:v>
                </c:pt>
                <c:pt idx="98">
                  <c:v>79</c:v>
                </c:pt>
                <c:pt idx="99">
                  <c:v>80</c:v>
                </c:pt>
                <c:pt idx="100">
                  <c:v>81</c:v>
                </c:pt>
                <c:pt idx="101">
                  <c:v>82</c:v>
                </c:pt>
                <c:pt idx="102">
                  <c:v>83</c:v>
                </c:pt>
                <c:pt idx="103">
                  <c:v>84</c:v>
                </c:pt>
                <c:pt idx="104">
                  <c:v>85</c:v>
                </c:pt>
                <c:pt idx="105">
                  <c:v>86</c:v>
                </c:pt>
                <c:pt idx="106">
                  <c:v>87</c:v>
                </c:pt>
                <c:pt idx="107">
                  <c:v>88</c:v>
                </c:pt>
                <c:pt idx="108">
                  <c:v>89</c:v>
                </c:pt>
                <c:pt idx="109">
                  <c:v>90</c:v>
                </c:pt>
                <c:pt idx="110">
                  <c:v>91</c:v>
                </c:pt>
                <c:pt idx="111">
                  <c:v>92</c:v>
                </c:pt>
                <c:pt idx="112">
                  <c:v>93</c:v>
                </c:pt>
                <c:pt idx="113">
                  <c:v>94</c:v>
                </c:pt>
                <c:pt idx="114">
                  <c:v>95</c:v>
                </c:pt>
                <c:pt idx="115">
                  <c:v>96</c:v>
                </c:pt>
                <c:pt idx="116">
                  <c:v>97</c:v>
                </c:pt>
                <c:pt idx="117">
                  <c:v>98</c:v>
                </c:pt>
                <c:pt idx="118">
                  <c:v>99</c:v>
                </c:pt>
                <c:pt idx="119">
                  <c:v>100</c:v>
                </c:pt>
                <c:pt idx="120">
                  <c:v>101</c:v>
                </c:pt>
                <c:pt idx="121">
                  <c:v>102</c:v>
                </c:pt>
                <c:pt idx="122">
                  <c:v>103</c:v>
                </c:pt>
                <c:pt idx="123">
                  <c:v>104</c:v>
                </c:pt>
                <c:pt idx="124">
                  <c:v>105</c:v>
                </c:pt>
                <c:pt idx="125">
                  <c:v>106</c:v>
                </c:pt>
                <c:pt idx="126">
                  <c:v>107</c:v>
                </c:pt>
                <c:pt idx="127">
                  <c:v>108</c:v>
                </c:pt>
                <c:pt idx="128">
                  <c:v>109</c:v>
                </c:pt>
                <c:pt idx="129">
                  <c:v>110</c:v>
                </c:pt>
                <c:pt idx="130">
                  <c:v>111</c:v>
                </c:pt>
                <c:pt idx="131">
                  <c:v>112</c:v>
                </c:pt>
                <c:pt idx="132">
                  <c:v>113</c:v>
                </c:pt>
                <c:pt idx="133">
                  <c:v>114</c:v>
                </c:pt>
                <c:pt idx="134">
                  <c:v>115</c:v>
                </c:pt>
                <c:pt idx="135">
                  <c:v>116</c:v>
                </c:pt>
                <c:pt idx="136">
                  <c:v>117</c:v>
                </c:pt>
                <c:pt idx="137">
                  <c:v>118</c:v>
                </c:pt>
                <c:pt idx="138">
                  <c:v>119</c:v>
                </c:pt>
                <c:pt idx="139">
                  <c:v>120</c:v>
                </c:pt>
                <c:pt idx="140">
                  <c:v>121</c:v>
                </c:pt>
                <c:pt idx="141">
                  <c:v>122</c:v>
                </c:pt>
                <c:pt idx="142">
                  <c:v>123</c:v>
                </c:pt>
                <c:pt idx="143">
                  <c:v>124</c:v>
                </c:pt>
                <c:pt idx="144">
                  <c:v>125</c:v>
                </c:pt>
                <c:pt idx="145">
                  <c:v>126</c:v>
                </c:pt>
                <c:pt idx="146">
                  <c:v>127</c:v>
                </c:pt>
                <c:pt idx="147">
                  <c:v>128</c:v>
                </c:pt>
                <c:pt idx="148">
                  <c:v>129</c:v>
                </c:pt>
                <c:pt idx="149">
                  <c:v>130</c:v>
                </c:pt>
                <c:pt idx="150">
                  <c:v>131</c:v>
                </c:pt>
                <c:pt idx="151">
                  <c:v>132</c:v>
                </c:pt>
                <c:pt idx="152">
                  <c:v>133</c:v>
                </c:pt>
                <c:pt idx="153">
                  <c:v>134</c:v>
                </c:pt>
                <c:pt idx="154">
                  <c:v>135</c:v>
                </c:pt>
                <c:pt idx="155">
                  <c:v>136</c:v>
                </c:pt>
                <c:pt idx="156">
                  <c:v>137</c:v>
                </c:pt>
                <c:pt idx="157">
                  <c:v>138</c:v>
                </c:pt>
                <c:pt idx="158">
                  <c:v>139</c:v>
                </c:pt>
                <c:pt idx="159">
                  <c:v>140</c:v>
                </c:pt>
                <c:pt idx="160">
                  <c:v>141</c:v>
                </c:pt>
                <c:pt idx="161">
                  <c:v>142</c:v>
                </c:pt>
                <c:pt idx="162">
                  <c:v>143</c:v>
                </c:pt>
                <c:pt idx="163">
                  <c:v>144</c:v>
                </c:pt>
                <c:pt idx="164">
                  <c:v>145</c:v>
                </c:pt>
                <c:pt idx="165">
                  <c:v>146</c:v>
                </c:pt>
                <c:pt idx="166">
                  <c:v>147</c:v>
                </c:pt>
                <c:pt idx="167">
                  <c:v>148</c:v>
                </c:pt>
                <c:pt idx="168">
                  <c:v>149</c:v>
                </c:pt>
                <c:pt idx="169">
                  <c:v>150</c:v>
                </c:pt>
                <c:pt idx="170">
                  <c:v>151</c:v>
                </c:pt>
                <c:pt idx="171">
                  <c:v>152</c:v>
                </c:pt>
                <c:pt idx="172">
                  <c:v>153</c:v>
                </c:pt>
                <c:pt idx="173">
                  <c:v>154</c:v>
                </c:pt>
                <c:pt idx="174">
                  <c:v>155</c:v>
                </c:pt>
                <c:pt idx="175">
                  <c:v>156</c:v>
                </c:pt>
                <c:pt idx="176">
                  <c:v>157</c:v>
                </c:pt>
                <c:pt idx="177">
                  <c:v>158</c:v>
                </c:pt>
                <c:pt idx="178">
                  <c:v>159</c:v>
                </c:pt>
                <c:pt idx="179">
                  <c:v>160</c:v>
                </c:pt>
                <c:pt idx="180">
                  <c:v>161</c:v>
                </c:pt>
                <c:pt idx="181">
                  <c:v>162</c:v>
                </c:pt>
                <c:pt idx="182">
                  <c:v>163</c:v>
                </c:pt>
                <c:pt idx="183">
                  <c:v>164</c:v>
                </c:pt>
                <c:pt idx="184">
                  <c:v>165</c:v>
                </c:pt>
                <c:pt idx="185">
                  <c:v>166</c:v>
                </c:pt>
                <c:pt idx="186">
                  <c:v>167</c:v>
                </c:pt>
                <c:pt idx="187">
                  <c:v>168</c:v>
                </c:pt>
                <c:pt idx="188">
                  <c:v>169</c:v>
                </c:pt>
                <c:pt idx="189">
                  <c:v>170</c:v>
                </c:pt>
                <c:pt idx="190">
                  <c:v>171</c:v>
                </c:pt>
                <c:pt idx="191">
                  <c:v>172</c:v>
                </c:pt>
                <c:pt idx="192">
                  <c:v>173</c:v>
                </c:pt>
                <c:pt idx="193">
                  <c:v>174</c:v>
                </c:pt>
                <c:pt idx="194">
                  <c:v>175</c:v>
                </c:pt>
                <c:pt idx="195">
                  <c:v>176</c:v>
                </c:pt>
                <c:pt idx="196">
                  <c:v>177</c:v>
                </c:pt>
                <c:pt idx="197">
                  <c:v>178</c:v>
                </c:pt>
                <c:pt idx="198">
                  <c:v>179</c:v>
                </c:pt>
                <c:pt idx="199">
                  <c:v>180</c:v>
                </c:pt>
                <c:pt idx="200">
                  <c:v>181</c:v>
                </c:pt>
                <c:pt idx="201">
                  <c:v>182</c:v>
                </c:pt>
                <c:pt idx="202">
                  <c:v>183</c:v>
                </c:pt>
                <c:pt idx="203">
                  <c:v>184</c:v>
                </c:pt>
                <c:pt idx="204">
                  <c:v>185</c:v>
                </c:pt>
                <c:pt idx="205">
                  <c:v>186</c:v>
                </c:pt>
                <c:pt idx="206">
                  <c:v>187</c:v>
                </c:pt>
                <c:pt idx="207">
                  <c:v>188</c:v>
                </c:pt>
                <c:pt idx="208">
                  <c:v>189</c:v>
                </c:pt>
                <c:pt idx="209">
                  <c:v>190</c:v>
                </c:pt>
                <c:pt idx="210">
                  <c:v>191</c:v>
                </c:pt>
                <c:pt idx="211">
                  <c:v>192</c:v>
                </c:pt>
                <c:pt idx="212">
                  <c:v>193</c:v>
                </c:pt>
                <c:pt idx="213">
                  <c:v>194</c:v>
                </c:pt>
                <c:pt idx="214">
                  <c:v>195</c:v>
                </c:pt>
                <c:pt idx="215">
                  <c:v>196</c:v>
                </c:pt>
                <c:pt idx="216">
                  <c:v>197</c:v>
                </c:pt>
                <c:pt idx="217">
                  <c:v>198</c:v>
                </c:pt>
                <c:pt idx="218">
                  <c:v>199</c:v>
                </c:pt>
                <c:pt idx="219">
                  <c:v>200</c:v>
                </c:pt>
                <c:pt idx="220">
                  <c:v>201</c:v>
                </c:pt>
                <c:pt idx="221">
                  <c:v>202</c:v>
                </c:pt>
                <c:pt idx="222">
                  <c:v>203</c:v>
                </c:pt>
                <c:pt idx="223">
                  <c:v>204</c:v>
                </c:pt>
                <c:pt idx="224">
                  <c:v>205</c:v>
                </c:pt>
                <c:pt idx="225">
                  <c:v>206</c:v>
                </c:pt>
                <c:pt idx="226">
                  <c:v>207</c:v>
                </c:pt>
                <c:pt idx="227">
                  <c:v>208</c:v>
                </c:pt>
                <c:pt idx="228">
                  <c:v>209</c:v>
                </c:pt>
                <c:pt idx="229">
                  <c:v>210</c:v>
                </c:pt>
                <c:pt idx="230">
                  <c:v>211</c:v>
                </c:pt>
                <c:pt idx="231">
                  <c:v>212</c:v>
                </c:pt>
                <c:pt idx="232">
                  <c:v>213</c:v>
                </c:pt>
                <c:pt idx="233">
                  <c:v>214</c:v>
                </c:pt>
                <c:pt idx="234">
                  <c:v>215</c:v>
                </c:pt>
                <c:pt idx="235">
                  <c:v>216</c:v>
                </c:pt>
                <c:pt idx="236">
                  <c:v>217</c:v>
                </c:pt>
                <c:pt idx="237">
                  <c:v>218</c:v>
                </c:pt>
                <c:pt idx="238">
                  <c:v>219</c:v>
                </c:pt>
                <c:pt idx="239">
                  <c:v>220</c:v>
                </c:pt>
                <c:pt idx="240">
                  <c:v>221</c:v>
                </c:pt>
                <c:pt idx="241">
                  <c:v>222</c:v>
                </c:pt>
                <c:pt idx="242">
                  <c:v>223</c:v>
                </c:pt>
                <c:pt idx="243">
                  <c:v>224</c:v>
                </c:pt>
                <c:pt idx="244">
                  <c:v>225</c:v>
                </c:pt>
                <c:pt idx="245">
                  <c:v>226</c:v>
                </c:pt>
                <c:pt idx="246">
                  <c:v>227</c:v>
                </c:pt>
                <c:pt idx="247">
                  <c:v>228</c:v>
                </c:pt>
                <c:pt idx="248">
                  <c:v>229</c:v>
                </c:pt>
                <c:pt idx="249">
                  <c:v>230</c:v>
                </c:pt>
                <c:pt idx="250">
                  <c:v>231</c:v>
                </c:pt>
                <c:pt idx="251">
                  <c:v>232</c:v>
                </c:pt>
                <c:pt idx="252">
                  <c:v>233</c:v>
                </c:pt>
                <c:pt idx="253">
                  <c:v>234</c:v>
                </c:pt>
                <c:pt idx="254">
                  <c:v>235</c:v>
                </c:pt>
                <c:pt idx="255">
                  <c:v>236</c:v>
                </c:pt>
                <c:pt idx="256">
                  <c:v>237</c:v>
                </c:pt>
                <c:pt idx="257">
                  <c:v>238</c:v>
                </c:pt>
                <c:pt idx="258">
                  <c:v>239</c:v>
                </c:pt>
                <c:pt idx="259">
                  <c:v>240</c:v>
                </c:pt>
                <c:pt idx="260">
                  <c:v>241</c:v>
                </c:pt>
                <c:pt idx="261">
                  <c:v>242</c:v>
                </c:pt>
                <c:pt idx="262">
                  <c:v>243</c:v>
                </c:pt>
              </c:numCache>
            </c:numRef>
          </c:xVal>
          <c:yVal>
            <c:numRef>
              <c:f>'heat pump'!$J$18:$J$280</c:f>
              <c:numCache>
                <c:formatCode>General</c:formatCode>
                <c:ptCount val="263"/>
                <c:pt idx="0">
                  <c:v>2.65101428571428</c:v>
                </c:pt>
                <c:pt idx="1">
                  <c:v>3.958848</c:v>
                </c:pt>
                <c:pt idx="2">
                  <c:v>3.51701228571428</c:v>
                </c:pt>
                <c:pt idx="3">
                  <c:v>3.387681792</c:v>
                </c:pt>
                <c:pt idx="4">
                  <c:v>3.17665625806452</c:v>
                </c:pt>
                <c:pt idx="5">
                  <c:v>3.00879348129032</c:v>
                </c:pt>
                <c:pt idx="6">
                  <c:v>3.07281036387097</c:v>
                </c:pt>
                <c:pt idx="7">
                  <c:v>3.1665092516129</c:v>
                </c:pt>
                <c:pt idx="8">
                  <c:v>2.7745416</c:v>
                </c:pt>
                <c:pt idx="9">
                  <c:v>2.77983415</c:v>
                </c:pt>
                <c:pt idx="10">
                  <c:v>2.781432</c:v>
                </c:pt>
                <c:pt idx="11">
                  <c:v>2.74341221052632</c:v>
                </c:pt>
                <c:pt idx="12">
                  <c:v>3.1476086557377</c:v>
                </c:pt>
                <c:pt idx="13">
                  <c:v>3.11018310543131</c:v>
                </c:pt>
                <c:pt idx="14">
                  <c:v>2.91390546003934</c:v>
                </c:pt>
                <c:pt idx="15">
                  <c:v>2.59666325614035</c:v>
                </c:pt>
                <c:pt idx="16">
                  <c:v>2.46564752857143</c:v>
                </c:pt>
                <c:pt idx="17">
                  <c:v>2.23268227047619</c:v>
                </c:pt>
                <c:pt idx="18">
                  <c:v>2.25278587142857</c:v>
                </c:pt>
                <c:pt idx="19">
                  <c:v>2.66734051851852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</c:numCache>
            </c:numRef>
          </c:yVal>
          <c:smooth val="0"/>
        </c:ser>
        <c:axId val="40871683"/>
        <c:axId val="63020528"/>
      </c:scatterChart>
      <c:valAx>
        <c:axId val="40871683"/>
        <c:scaling>
          <c:orientation val="minMax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6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sz="1600" spc="-1" strike="noStrike">
                    <a:solidFill>
                      <a:srgbClr val="595959"/>
                    </a:solidFill>
                    <a:latin typeface="Calibri"/>
                  </a:rPr>
                  <a:t>Source temperature /C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3020528"/>
        <c:crosses val="autoZero"/>
        <c:crossBetween val="midCat"/>
      </c:valAx>
      <c:valAx>
        <c:axId val="630205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8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sz="1800" spc="-1" strike="noStrike">
                    <a:solidFill>
                      <a:srgbClr val="595959"/>
                    </a:solidFill>
                    <a:latin typeface="Calibri"/>
                  </a:rPr>
                  <a:t>Coefficient of performance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0871683"/>
        <c:crosses val="autoZero"/>
        <c:crossBetween val="midCat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1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278640</xdr:colOff>
      <xdr:row>1</xdr:row>
      <xdr:rowOff>111960</xdr:rowOff>
    </xdr:from>
    <xdr:to>
      <xdr:col>15</xdr:col>
      <xdr:colOff>316440</xdr:colOff>
      <xdr:row>16</xdr:row>
      <xdr:rowOff>140040</xdr:rowOff>
    </xdr:to>
    <xdr:graphicFrame>
      <xdr:nvGraphicFramePr>
        <xdr:cNvPr id="0" name="Chart 1"/>
        <xdr:cNvGraphicFramePr/>
      </xdr:nvGraphicFramePr>
      <xdr:xfrm>
        <a:off x="6890760" y="292680"/>
        <a:ext cx="43228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204120</xdr:colOff>
      <xdr:row>3</xdr:row>
      <xdr:rowOff>58320</xdr:rowOff>
    </xdr:from>
    <xdr:to>
      <xdr:col>18</xdr:col>
      <xdr:colOff>181440</xdr:colOff>
      <xdr:row>44</xdr:row>
      <xdr:rowOff>38880</xdr:rowOff>
    </xdr:to>
    <xdr:graphicFrame>
      <xdr:nvGraphicFramePr>
        <xdr:cNvPr id="1" name="Chart 1"/>
        <xdr:cNvGraphicFramePr/>
      </xdr:nvGraphicFramePr>
      <xdr:xfrm>
        <a:off x="803880" y="545760"/>
        <a:ext cx="10178640" cy="664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5" activeCellId="0" sqref="F35"/>
    </sheetView>
  </sheetViews>
  <sheetFormatPr defaultRowHeight="14.25" zeroHeight="false" outlineLevelRow="0" outlineLevelCol="0"/>
  <cols>
    <col collapsed="false" customWidth="false" hidden="false" outlineLevel="0" max="1" min="1" style="0" width="11.46"/>
    <col collapsed="false" customWidth="true" hidden="false" outlineLevel="0" max="2" min="2" style="0" width="8.67"/>
    <col collapsed="false" customWidth="true" hidden="false" outlineLevel="0" max="3" min="3" style="0" width="11.72"/>
    <col collapsed="false" customWidth="true" hidden="false" outlineLevel="0" max="5" min="4" style="0" width="10.86"/>
    <col collapsed="false" customWidth="true" hidden="false" outlineLevel="0" max="6" min="6" style="0" width="15.6"/>
    <col collapsed="false" customWidth="true" hidden="false" outlineLevel="0" max="7" min="7" style="0" width="11.86"/>
    <col collapsed="false" customWidth="true" hidden="false" outlineLevel="0" max="8" min="8" style="0" width="12.66"/>
    <col collapsed="false" customWidth="true" hidden="false" outlineLevel="0" max="1025" min="9" style="0" width="8.67"/>
  </cols>
  <sheetData>
    <row r="3" customFormat="false" ht="14.25" hidden="false" customHeight="false" outlineLevel="0" collapsed="false">
      <c r="B3" s="0" t="n">
        <f aca="false">290/3600</f>
        <v>0.0805555555555556</v>
      </c>
    </row>
    <row r="4" customFormat="false" ht="14.25" hidden="false" customHeight="false" outlineLevel="0" collapsed="false">
      <c r="B4" s="0" t="n">
        <f aca="false">B3*1.2</f>
        <v>0.0966666666666667</v>
      </c>
      <c r="C4" s="0" t="s">
        <v>0</v>
      </c>
    </row>
    <row r="6" customFormat="false" ht="14.25" hidden="false" customHeight="false" outlineLevel="0" collapsed="false">
      <c r="B6" s="0" t="s">
        <v>1</v>
      </c>
      <c r="C6" s="0" t="n">
        <f aca="false">B4</f>
        <v>0.0966666666666667</v>
      </c>
      <c r="F6" s="0" t="s">
        <v>2</v>
      </c>
      <c r="G6" s="0" t="n">
        <v>3</v>
      </c>
    </row>
    <row r="7" customFormat="false" ht="14.25" hidden="false" customHeight="false" outlineLevel="0" collapsed="false">
      <c r="B7" s="0" t="s">
        <v>3</v>
      </c>
      <c r="C7" s="0" t="n">
        <v>1</v>
      </c>
      <c r="F7" s="0" t="s">
        <v>4</v>
      </c>
      <c r="G7" s="0" t="n">
        <v>0.17</v>
      </c>
    </row>
    <row r="8" customFormat="false" ht="14.25" hidden="false" customHeight="false" outlineLevel="0" collapsed="false">
      <c r="B8" s="0" t="s">
        <v>5</v>
      </c>
      <c r="C8" s="0" t="n">
        <f aca="false">30-8.9</f>
        <v>21.1</v>
      </c>
      <c r="F8" s="0" t="s">
        <v>6</v>
      </c>
      <c r="G8" s="0" t="n">
        <v>0.05</v>
      </c>
    </row>
    <row r="9" customFormat="false" ht="14.25" hidden="false" customHeight="false" outlineLevel="0" collapsed="false">
      <c r="F9" s="0" t="s">
        <v>7</v>
      </c>
      <c r="G9" s="0" t="n">
        <f aca="false">G6*((G7/2)^2-(G8/2)^2)*PI()</f>
        <v>0.0622035345410779</v>
      </c>
    </row>
    <row r="10" customFormat="false" ht="14.25" hidden="false" customHeight="false" outlineLevel="0" collapsed="false">
      <c r="B10" s="0" t="s">
        <v>8</v>
      </c>
      <c r="C10" s="0" t="n">
        <f aca="false">C6*C7*C8</f>
        <v>2.03966666666667</v>
      </c>
      <c r="F10" s="0" t="s">
        <v>0</v>
      </c>
      <c r="G10" s="0" t="n">
        <f aca="false">G9*1.2</f>
        <v>0.0746442414492935</v>
      </c>
    </row>
    <row r="11" customFormat="false" ht="14.25" hidden="false" customHeight="false" outlineLevel="0" collapsed="false">
      <c r="B11" s="0" t="s">
        <v>9</v>
      </c>
      <c r="C11" s="0" t="n">
        <v>0.65</v>
      </c>
    </row>
    <row r="12" customFormat="false" ht="14.25" hidden="false" customHeight="false" outlineLevel="0" collapsed="false">
      <c r="C12" s="0" t="n">
        <f aca="false">C10/C11</f>
        <v>3.13794871794872</v>
      </c>
    </row>
    <row r="17" customFormat="false" ht="14.25" hidden="false" customHeight="false" outlineLevel="0" collapsed="false">
      <c r="A17" s="0" t="s">
        <v>10</v>
      </c>
      <c r="B17" s="0" t="s">
        <v>11</v>
      </c>
      <c r="C17" s="0" t="s">
        <v>12</v>
      </c>
      <c r="D17" s="0" t="s">
        <v>13</v>
      </c>
      <c r="E17" s="0" t="s">
        <v>14</v>
      </c>
      <c r="F17" s="0" t="s">
        <v>15</v>
      </c>
      <c r="G17" s="0" t="s">
        <v>16</v>
      </c>
      <c r="H17" s="0" t="s">
        <v>17</v>
      </c>
      <c r="I17" s="0" t="s">
        <v>18</v>
      </c>
    </row>
    <row r="18" customFormat="false" ht="14.25" hidden="false" customHeight="false" outlineLevel="0" collapsed="false">
      <c r="A18" s="0" t="n">
        <v>2</v>
      </c>
      <c r="B18" s="0" t="n">
        <v>19</v>
      </c>
      <c r="C18" s="0" t="n">
        <v>50</v>
      </c>
      <c r="D18" s="0" t="n">
        <f aca="false">(1005 + 1884*E18)/1000</f>
        <v>1.02384</v>
      </c>
      <c r="E18" s="0" t="n">
        <v>0.01</v>
      </c>
      <c r="F18" s="0" t="n">
        <f aca="false">C18-B18</f>
        <v>31</v>
      </c>
      <c r="G18" s="0" t="n">
        <f aca="false">G10</f>
        <v>0.0746442414492935</v>
      </c>
      <c r="H18" s="0" t="n">
        <f aca="false">G18*F18*D18</f>
        <v>2.36913656512878</v>
      </c>
      <c r="I18" s="0" t="n">
        <f aca="false">H18/A18</f>
        <v>1.18456828256439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J37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D35" activeCellId="0" sqref="D35"/>
    </sheetView>
  </sheetViews>
  <sheetFormatPr defaultRowHeight="14.25" zeroHeight="false" outlineLevelRow="0" outlineLevelCol="0"/>
  <cols>
    <col collapsed="false" customWidth="true" hidden="false" outlineLevel="0" max="1" min="1" style="0" width="22.51"/>
    <col collapsed="false" customWidth="true" hidden="false" outlineLevel="0" max="2" min="2" style="0" width="22.36"/>
    <col collapsed="false" customWidth="true" hidden="false" outlineLevel="0" max="3" min="3" style="0" width="22.09"/>
    <col collapsed="false" customWidth="true" hidden="false" outlineLevel="0" max="4" min="4" style="0" width="23.66"/>
    <col collapsed="false" customWidth="true" hidden="false" outlineLevel="0" max="5" min="5" style="0" width="21.02"/>
    <col collapsed="false" customWidth="true" hidden="false" outlineLevel="0" max="6" min="6" style="0" width="16.43"/>
    <col collapsed="false" customWidth="true" hidden="false" outlineLevel="0" max="7" min="7" style="0" width="15.6"/>
    <col collapsed="false" customWidth="true" hidden="false" outlineLevel="0" max="8" min="8" style="0" width="19.91"/>
    <col collapsed="false" customWidth="true" hidden="false" outlineLevel="0" max="9" min="9" style="0" width="24.22"/>
    <col collapsed="false" customWidth="true" hidden="false" outlineLevel="0" max="1025" min="10" style="0" width="8.67"/>
  </cols>
  <sheetData>
    <row r="3" customFormat="false" ht="14.25" hidden="false" customHeight="false" outlineLevel="0" collapsed="false">
      <c r="C3" s="0" t="n">
        <f aca="false">290/3600</f>
        <v>0.0805555555555556</v>
      </c>
    </row>
    <row r="4" customFormat="false" ht="14.25" hidden="false" customHeight="false" outlineLevel="0" collapsed="false">
      <c r="C4" s="0" t="n">
        <f aca="false">C3*1.2</f>
        <v>0.0966666666666667</v>
      </c>
      <c r="D4" s="0" t="s">
        <v>0</v>
      </c>
    </row>
    <row r="5" customFormat="false" ht="14.25" hidden="false" customHeight="false" outlineLevel="0" collapsed="false">
      <c r="H5" s="0" t="s">
        <v>19</v>
      </c>
      <c r="I5" s="0" t="s">
        <v>20</v>
      </c>
    </row>
    <row r="6" customFormat="false" ht="14.25" hidden="false" customHeight="false" outlineLevel="0" collapsed="false">
      <c r="C6" s="0" t="s">
        <v>1</v>
      </c>
      <c r="D6" s="0" t="n">
        <f aca="false">C4</f>
        <v>0.0966666666666667</v>
      </c>
      <c r="H6" s="0" t="n">
        <v>5</v>
      </c>
      <c r="I6" s="0" t="n">
        <v>5.6</v>
      </c>
    </row>
    <row r="7" customFormat="false" ht="14.25" hidden="false" customHeight="false" outlineLevel="0" collapsed="false">
      <c r="C7" s="0" t="s">
        <v>3</v>
      </c>
      <c r="D7" s="0" t="n">
        <v>1</v>
      </c>
      <c r="G7" s="0" t="s">
        <v>21</v>
      </c>
      <c r="H7" s="0" t="n">
        <v>0.15</v>
      </c>
      <c r="I7" s="0" t="n">
        <f aca="false">H7</f>
        <v>0.15</v>
      </c>
    </row>
    <row r="8" customFormat="false" ht="14.25" hidden="false" customHeight="false" outlineLevel="0" collapsed="false">
      <c r="C8" s="0" t="s">
        <v>5</v>
      </c>
      <c r="D8" s="0" t="n">
        <f aca="false">30-8.9</f>
        <v>21.1</v>
      </c>
      <c r="G8" s="0" t="s">
        <v>22</v>
      </c>
      <c r="H8" s="0" t="n">
        <v>0.11</v>
      </c>
      <c r="I8" s="0" t="n">
        <f aca="false">H8</f>
        <v>0.11</v>
      </c>
    </row>
    <row r="9" customFormat="false" ht="14.25" hidden="false" customHeight="false" outlineLevel="0" collapsed="false">
      <c r="G9" s="0" t="s">
        <v>7</v>
      </c>
      <c r="H9" s="0" t="n">
        <f aca="false">H6*H7*H8</f>
        <v>0.0825</v>
      </c>
      <c r="I9" s="0" t="n">
        <f aca="false">I6*I7*I8</f>
        <v>0.0924</v>
      </c>
    </row>
    <row r="10" customFormat="false" ht="14.25" hidden="false" customHeight="false" outlineLevel="0" collapsed="false">
      <c r="C10" s="0" t="s">
        <v>8</v>
      </c>
      <c r="D10" s="0" t="n">
        <f aca="false">D6*D7*D8</f>
        <v>2.03966666666667</v>
      </c>
      <c r="G10" s="0" t="s">
        <v>0</v>
      </c>
      <c r="H10" s="0" t="n">
        <f aca="false">H9*1.2</f>
        <v>0.099</v>
      </c>
      <c r="I10" s="0" t="n">
        <f aca="false">I9*1.2</f>
        <v>0.11088</v>
      </c>
    </row>
    <row r="11" customFormat="false" ht="14.25" hidden="false" customHeight="false" outlineLevel="0" collapsed="false">
      <c r="C11" s="0" t="s">
        <v>9</v>
      </c>
      <c r="D11" s="0" t="n">
        <v>0.65</v>
      </c>
    </row>
    <row r="12" customFormat="false" ht="14.25" hidden="false" customHeight="false" outlineLevel="0" collapsed="false">
      <c r="D12" s="0" t="n">
        <f aca="false">D10/D11</f>
        <v>3.13794871794872</v>
      </c>
    </row>
    <row r="17" customFormat="false" ht="13.8" hidden="false" customHeight="false" outlineLevel="0" collapsed="false">
      <c r="A17" s="1" t="s">
        <v>23</v>
      </c>
      <c r="B17" s="1" t="s">
        <v>24</v>
      </c>
      <c r="C17" s="1" t="s">
        <v>25</v>
      </c>
      <c r="D17" s="1" t="s">
        <v>26</v>
      </c>
      <c r="E17" s="1" t="s">
        <v>27</v>
      </c>
      <c r="F17" s="1" t="s">
        <v>28</v>
      </c>
      <c r="G17" s="1" t="s">
        <v>29</v>
      </c>
      <c r="H17" s="1" t="s">
        <v>30</v>
      </c>
      <c r="I17" s="1" t="s">
        <v>31</v>
      </c>
      <c r="J17" s="1" t="s">
        <v>18</v>
      </c>
    </row>
    <row r="18" customFormat="false" ht="14.25" hidden="false" customHeight="false" outlineLevel="0" collapsed="false">
      <c r="A18" s="0" t="n">
        <v>0.56</v>
      </c>
      <c r="B18" s="0" t="n">
        <v>8.5</v>
      </c>
      <c r="C18" s="0" t="n">
        <v>17</v>
      </c>
      <c r="D18" s="0" t="n">
        <v>32</v>
      </c>
      <c r="E18" s="0" t="n">
        <f aca="false">(1005 + 1884*F18)/1000</f>
        <v>1.02384</v>
      </c>
      <c r="F18" s="0" t="n">
        <v>0.01</v>
      </c>
      <c r="G18" s="0" t="n">
        <f aca="false">D18-C18</f>
        <v>15</v>
      </c>
      <c r="H18" s="0" t="n">
        <f aca="false">290/3600*1.2</f>
        <v>0.0966666666666667</v>
      </c>
      <c r="I18" s="0" t="n">
        <f aca="false">H18*G18*E18</f>
        <v>1.484568</v>
      </c>
      <c r="J18" s="0" t="n">
        <f aca="false">I18/A18</f>
        <v>2.65101428571428</v>
      </c>
    </row>
    <row r="19" customFormat="false" ht="14.25" hidden="false" customHeight="false" outlineLevel="0" collapsed="false">
      <c r="A19" s="0" t="n">
        <v>0.56</v>
      </c>
      <c r="B19" s="0" t="n">
        <v>22.6</v>
      </c>
      <c r="C19" s="0" t="n">
        <v>18.6</v>
      </c>
      <c r="D19" s="0" t="n">
        <v>41</v>
      </c>
      <c r="E19" s="0" t="n">
        <f aca="false">(1005 + 1884*F19)/1000</f>
        <v>1.02384</v>
      </c>
      <c r="F19" s="0" t="n">
        <v>0.01</v>
      </c>
      <c r="G19" s="0" t="n">
        <f aca="false">D19-C19</f>
        <v>22.4</v>
      </c>
      <c r="H19" s="0" t="n">
        <f aca="false">290/3600*1.2</f>
        <v>0.0966666666666667</v>
      </c>
      <c r="I19" s="0" t="n">
        <f aca="false">H19*G19*E19</f>
        <v>2.21695488</v>
      </c>
      <c r="J19" s="0" t="n">
        <f aca="false">I19/A19</f>
        <v>3.958848</v>
      </c>
    </row>
    <row r="20" customFormat="false" ht="14.25" hidden="false" customHeight="false" outlineLevel="0" collapsed="false">
      <c r="A20" s="0" t="n">
        <v>0.56</v>
      </c>
      <c r="B20" s="0" t="n">
        <v>17</v>
      </c>
      <c r="C20" s="0" t="n">
        <v>18.6</v>
      </c>
      <c r="D20" s="0" t="n">
        <v>38.5</v>
      </c>
      <c r="E20" s="0" t="n">
        <f aca="false">(1005 + 1884*F20)/1000</f>
        <v>1.02384</v>
      </c>
      <c r="F20" s="0" t="n">
        <v>0.01</v>
      </c>
      <c r="G20" s="0" t="n">
        <f aca="false">D20-C20</f>
        <v>19.9</v>
      </c>
      <c r="H20" s="0" t="n">
        <f aca="false">290/3600*1.2</f>
        <v>0.0966666666666667</v>
      </c>
      <c r="I20" s="0" t="n">
        <f aca="false">H20*G20*E20</f>
        <v>1.96952688</v>
      </c>
      <c r="J20" s="0" t="n">
        <f aca="false">I20/A20</f>
        <v>3.51701228571428</v>
      </c>
    </row>
    <row r="21" customFormat="false" ht="14.25" hidden="false" customHeight="false" outlineLevel="0" collapsed="false">
      <c r="A21" s="0" t="n">
        <v>0.63</v>
      </c>
      <c r="B21" s="0" t="n">
        <v>17.2</v>
      </c>
      <c r="C21" s="0" t="n">
        <v>18.6</v>
      </c>
      <c r="D21" s="0" t="n">
        <v>37.4</v>
      </c>
      <c r="E21" s="0" t="n">
        <f aca="false">(1005 + 1884*F21)/1000</f>
        <v>1.02384</v>
      </c>
      <c r="F21" s="0" t="n">
        <v>0.01</v>
      </c>
      <c r="G21" s="0" t="n">
        <f aca="false">D21-C21</f>
        <v>18.8</v>
      </c>
      <c r="H21" s="0" t="n">
        <f aca="false">I10</f>
        <v>0.11088</v>
      </c>
      <c r="I21" s="0" t="n">
        <f aca="false">H21*G21*E21</f>
        <v>2.13423952896</v>
      </c>
      <c r="J21" s="0" t="n">
        <f aca="false">I21/A21</f>
        <v>3.387681792</v>
      </c>
    </row>
    <row r="22" customFormat="false" ht="14.25" hidden="false" customHeight="false" outlineLevel="0" collapsed="false">
      <c r="A22" s="0" t="n">
        <v>0.62</v>
      </c>
      <c r="B22" s="0" t="n">
        <v>17.2</v>
      </c>
      <c r="C22" s="0" t="n">
        <v>18.6</v>
      </c>
      <c r="D22" s="0" t="n">
        <v>38.5</v>
      </c>
      <c r="E22" s="0" t="n">
        <f aca="false">(1005 + 1884*F22)/1000</f>
        <v>1.02384</v>
      </c>
      <c r="F22" s="0" t="n">
        <v>0.01</v>
      </c>
      <c r="G22" s="0" t="n">
        <f aca="false">D22-C22</f>
        <v>19.9</v>
      </c>
      <c r="H22" s="0" t="n">
        <f aca="false">290/3600*1.2</f>
        <v>0.0966666666666667</v>
      </c>
      <c r="I22" s="0" t="n">
        <f aca="false">H22*G22*E22</f>
        <v>1.96952688</v>
      </c>
      <c r="J22" s="0" t="n">
        <f aca="false">I22/A22</f>
        <v>3.17665625806452</v>
      </c>
    </row>
    <row r="23" customFormat="false" ht="14.25" hidden="false" customHeight="false" outlineLevel="0" collapsed="false">
      <c r="A23" s="0" t="n">
        <v>0.62</v>
      </c>
      <c r="B23" s="0" t="n">
        <v>14.8</v>
      </c>
      <c r="C23" s="0" t="n">
        <v>18.6</v>
      </c>
      <c r="D23" s="0" t="n">
        <v>37.4</v>
      </c>
      <c r="E23" s="0" t="n">
        <f aca="false">(1005 + 1884*F23)/1000</f>
        <v>1.0264776</v>
      </c>
      <c r="F23" s="0" t="n">
        <v>0.0114</v>
      </c>
      <c r="G23" s="0" t="n">
        <f aca="false">D23-C23</f>
        <v>18.8</v>
      </c>
      <c r="H23" s="0" t="n">
        <f aca="false">290/3600*1.2</f>
        <v>0.0966666666666667</v>
      </c>
      <c r="I23" s="0" t="n">
        <f aca="false">H23*G23*E23</f>
        <v>1.8654519584</v>
      </c>
      <c r="J23" s="0" t="n">
        <f aca="false">I23/A23</f>
        <v>3.00879348129032</v>
      </c>
    </row>
    <row r="24" customFormat="false" ht="14.25" hidden="false" customHeight="false" outlineLevel="0" collapsed="false">
      <c r="A24" s="0" t="n">
        <v>0.62</v>
      </c>
      <c r="B24" s="0" t="n">
        <f aca="false">(15.1+14.1)/2</f>
        <v>14.6</v>
      </c>
      <c r="C24" s="0" t="n">
        <v>18.2</v>
      </c>
      <c r="D24" s="0" t="n">
        <v>37.4</v>
      </c>
      <c r="E24" s="0" t="n">
        <f aca="false">(1005 + 1884*F24)/1000</f>
        <v>1.0264776</v>
      </c>
      <c r="F24" s="0" t="n">
        <f aca="false">F23</f>
        <v>0.0114</v>
      </c>
      <c r="G24" s="0" t="n">
        <f aca="false">D24-C24</f>
        <v>19.2</v>
      </c>
      <c r="H24" s="0" t="n">
        <f aca="false">290/3600*1.2</f>
        <v>0.0966666666666667</v>
      </c>
      <c r="I24" s="0" t="n">
        <f aca="false">H24*G24*E24</f>
        <v>1.9051424256</v>
      </c>
      <c r="J24" s="0" t="n">
        <f aca="false">I24/A24</f>
        <v>3.07281036387097</v>
      </c>
    </row>
    <row r="25" customFormat="false" ht="14.25" hidden="false" customHeight="false" outlineLevel="0" collapsed="false">
      <c r="A25" s="0" t="n">
        <v>0.62</v>
      </c>
      <c r="B25" s="0" t="n">
        <f aca="false">(14.8+14.1)*0.5</f>
        <v>14.45</v>
      </c>
      <c r="C25" s="0" t="n">
        <v>18.2</v>
      </c>
      <c r="D25" s="0" t="n">
        <v>38</v>
      </c>
      <c r="E25" s="0" t="n">
        <f aca="false">(1005 + 1884*F25)/1000</f>
        <v>1.025724</v>
      </c>
      <c r="F25" s="0" t="n">
        <v>0.011</v>
      </c>
      <c r="G25" s="0" t="n">
        <f aca="false">D25-C25</f>
        <v>19.8</v>
      </c>
      <c r="H25" s="0" t="n">
        <f aca="false">290/3600*1.2</f>
        <v>0.0966666666666667</v>
      </c>
      <c r="I25" s="0" t="n">
        <f aca="false">H25*G25*E25</f>
        <v>1.963235736</v>
      </c>
      <c r="J25" s="0" t="n">
        <f aca="false">I25/A25</f>
        <v>3.1665092516129</v>
      </c>
    </row>
    <row r="26" customFormat="false" ht="14.25" hidden="false" customHeight="false" outlineLevel="0" collapsed="false">
      <c r="A26" s="0" t="n">
        <v>0.58</v>
      </c>
      <c r="B26" s="0" t="n">
        <v>12.6</v>
      </c>
      <c r="C26" s="0" t="n">
        <v>19</v>
      </c>
      <c r="D26" s="0" t="n">
        <v>35.2</v>
      </c>
      <c r="E26" s="0" t="n">
        <f aca="false">(1005 + 1884*F26)/1000</f>
        <v>1.027608</v>
      </c>
      <c r="F26" s="0" t="n">
        <v>0.012</v>
      </c>
      <c r="G26" s="0" t="n">
        <f aca="false">D26-C26</f>
        <v>16.2</v>
      </c>
      <c r="H26" s="0" t="n">
        <f aca="false">290/3600*1.2</f>
        <v>0.0966666666666667</v>
      </c>
      <c r="I26" s="0" t="n">
        <f aca="false">H26*G26*E26</f>
        <v>1.609234128</v>
      </c>
      <c r="J26" s="0" t="n">
        <f aca="false">I26/A26</f>
        <v>2.7745416</v>
      </c>
    </row>
    <row r="27" customFormat="false" ht="14.25" hidden="false" customHeight="false" outlineLevel="0" collapsed="false">
      <c r="A27" s="0" t="n">
        <v>0.56</v>
      </c>
      <c r="B27" s="0" t="n">
        <v>12.2</v>
      </c>
      <c r="C27" s="0" t="n">
        <v>19</v>
      </c>
      <c r="D27" s="0" t="n">
        <v>34.7</v>
      </c>
      <c r="E27" s="0" t="n">
        <f aca="false">(1005 + 1884*F27)/1000</f>
        <v>1.025724</v>
      </c>
      <c r="F27" s="0" t="n">
        <v>0.011</v>
      </c>
      <c r="G27" s="0" t="n">
        <f aca="false">D27-C27</f>
        <v>15.7</v>
      </c>
      <c r="H27" s="0" t="n">
        <f aca="false">290/3600*1.2</f>
        <v>0.0966666666666667</v>
      </c>
      <c r="I27" s="0" t="n">
        <f aca="false">H27*G27*E27</f>
        <v>1.556707124</v>
      </c>
      <c r="J27" s="0" t="n">
        <f aca="false">I27/A27</f>
        <v>2.77983415</v>
      </c>
    </row>
    <row r="28" customFormat="false" ht="14.25" hidden="false" customHeight="false" outlineLevel="0" collapsed="false">
      <c r="A28" s="0" t="n">
        <v>0.58</v>
      </c>
      <c r="B28" s="0" t="n">
        <v>10.3</v>
      </c>
      <c r="C28" s="0" t="n">
        <v>17</v>
      </c>
      <c r="D28" s="0" t="n">
        <v>33.3</v>
      </c>
      <c r="E28" s="0" t="n">
        <f aca="false">(1005 + 1884*F28)/1000</f>
        <v>1.02384</v>
      </c>
      <c r="F28" s="0" t="n">
        <v>0.01</v>
      </c>
      <c r="G28" s="0" t="n">
        <f aca="false">D28-C28</f>
        <v>16.3</v>
      </c>
      <c r="H28" s="0" t="n">
        <f aca="false">290/3600*1.2</f>
        <v>0.0966666666666667</v>
      </c>
      <c r="I28" s="0" t="n">
        <f aca="false">H28*G28*E28</f>
        <v>1.61323056</v>
      </c>
      <c r="J28" s="0" t="n">
        <f aca="false">I28/A28</f>
        <v>2.781432</v>
      </c>
    </row>
    <row r="29" customFormat="false" ht="14.25" hidden="false" customHeight="false" outlineLevel="0" collapsed="false">
      <c r="A29" s="0" t="n">
        <v>0.57</v>
      </c>
      <c r="B29" s="0" t="n">
        <v>10.3</v>
      </c>
      <c r="C29" s="0" t="n">
        <v>17</v>
      </c>
      <c r="D29" s="0" t="n">
        <v>32.8</v>
      </c>
      <c r="E29" s="0" t="n">
        <f aca="false">(1005 + 1884*F29)/1000</f>
        <v>1.02384</v>
      </c>
      <c r="F29" s="0" t="n">
        <v>0.01</v>
      </c>
      <c r="G29" s="0" t="n">
        <f aca="false">D29-C29</f>
        <v>15.8</v>
      </c>
      <c r="H29" s="0" t="n">
        <f aca="false">290/3600*1.2</f>
        <v>0.0966666666666667</v>
      </c>
      <c r="I29" s="0" t="n">
        <f aca="false">H29*G29*E29</f>
        <v>1.56374496</v>
      </c>
      <c r="J29" s="0" t="n">
        <f aca="false">I29/A29</f>
        <v>2.74341221052632</v>
      </c>
    </row>
    <row r="30" customFormat="false" ht="14.25" hidden="false" customHeight="false" outlineLevel="0" collapsed="false">
      <c r="A30" s="0" t="n">
        <v>0.61</v>
      </c>
      <c r="B30" s="0" t="n">
        <v>14</v>
      </c>
      <c r="C30" s="0" t="n">
        <v>18.6</v>
      </c>
      <c r="D30" s="0" t="n">
        <v>38</v>
      </c>
      <c r="E30" s="0" t="n">
        <f aca="false">(1005 + 1884*F30)/1000</f>
        <v>1.02384</v>
      </c>
      <c r="F30" s="0" t="n">
        <v>0.01</v>
      </c>
      <c r="G30" s="0" t="n">
        <f aca="false">D30-C30</f>
        <v>19.4</v>
      </c>
      <c r="H30" s="0" t="n">
        <f aca="false">290/3600*1.2</f>
        <v>0.0966666666666667</v>
      </c>
      <c r="I30" s="0" t="n">
        <f aca="false">H30*G30*E30</f>
        <v>1.92004128</v>
      </c>
      <c r="J30" s="0" t="n">
        <f aca="false">I30/A30</f>
        <v>3.1476086557377</v>
      </c>
    </row>
    <row r="31" customFormat="false" ht="14.25" hidden="false" customHeight="false" outlineLevel="0" collapsed="false">
      <c r="A31" s="0" t="n">
        <v>0.626</v>
      </c>
      <c r="B31" s="0" t="n">
        <v>14</v>
      </c>
      <c r="C31" s="0" t="n">
        <v>19.4</v>
      </c>
      <c r="D31" s="0" t="n">
        <v>39</v>
      </c>
      <c r="E31" s="0" t="n">
        <f aca="false">(1005 + 1884*F31)/1000</f>
        <v>1.027608</v>
      </c>
      <c r="F31" s="0" t="n">
        <v>0.012</v>
      </c>
      <c r="G31" s="0" t="n">
        <f aca="false">D31-C31</f>
        <v>19.6</v>
      </c>
      <c r="H31" s="0" t="n">
        <f aca="false">290/3600*1.2</f>
        <v>0.0966666666666667</v>
      </c>
      <c r="I31" s="0" t="n">
        <f aca="false">H31*G31*E31</f>
        <v>1.946974624</v>
      </c>
      <c r="J31" s="0" t="n">
        <f aca="false">I31/A31</f>
        <v>3.11018310543131</v>
      </c>
    </row>
    <row r="32" customFormat="false" ht="14.25" hidden="false" customHeight="false" outlineLevel="0" collapsed="false">
      <c r="A32" s="0" t="n">
        <v>0.61</v>
      </c>
      <c r="B32" s="0" t="n">
        <v>10.5</v>
      </c>
      <c r="C32" s="0" t="n">
        <v>18.2</v>
      </c>
      <c r="D32" s="0" t="n">
        <v>33.8</v>
      </c>
      <c r="E32" s="0" t="n">
        <f aca="false">(1005 + 1884*F32)/1000</f>
        <v>1.027608</v>
      </c>
      <c r="F32" s="0" t="n">
        <v>0.012</v>
      </c>
      <c r="G32" s="0" t="n">
        <f aca="false">D32-C32</f>
        <v>15.6</v>
      </c>
      <c r="H32" s="0" t="n">
        <f aca="false">H21</f>
        <v>0.11088</v>
      </c>
      <c r="I32" s="0" t="n">
        <f aca="false">H32*G32*E32</f>
        <v>1.777482330624</v>
      </c>
      <c r="J32" s="0" t="n">
        <f aca="false">I32/A32</f>
        <v>2.91390546003934</v>
      </c>
    </row>
    <row r="33" customFormat="false" ht="14.25" hidden="false" customHeight="false" outlineLevel="0" collapsed="false">
      <c r="A33" s="0" t="n">
        <v>0.57</v>
      </c>
      <c r="B33" s="0" t="n">
        <v>8.5</v>
      </c>
      <c r="C33" s="0" t="n">
        <v>16.1</v>
      </c>
      <c r="D33" s="0" t="n">
        <v>31</v>
      </c>
      <c r="E33" s="0" t="n">
        <f aca="false">(1005 + 1884*F33)/1000</f>
        <v>1.027608</v>
      </c>
      <c r="F33" s="0" t="n">
        <v>0.012</v>
      </c>
      <c r="G33" s="0" t="n">
        <f aca="false">D33-C33</f>
        <v>14.9</v>
      </c>
      <c r="H33" s="0" t="n">
        <f aca="false">H31</f>
        <v>0.0966666666666667</v>
      </c>
      <c r="I33" s="0" t="n">
        <f aca="false">H33*G33*E33</f>
        <v>1.480098056</v>
      </c>
      <c r="J33" s="0" t="n">
        <f aca="false">I33/A33</f>
        <v>2.59666325614035</v>
      </c>
    </row>
    <row r="34" customFormat="false" ht="14.25" hidden="false" customHeight="false" outlineLevel="0" collapsed="false">
      <c r="A34" s="0" t="n">
        <v>0.56</v>
      </c>
      <c r="B34" s="0" t="n">
        <v>6.4</v>
      </c>
      <c r="C34" s="0" t="n">
        <v>16.1</v>
      </c>
      <c r="D34" s="0" t="n">
        <v>30</v>
      </c>
      <c r="E34" s="0" t="n">
        <f aca="false">(1005 + 1884*F34)/1000</f>
        <v>1.027608</v>
      </c>
      <c r="F34" s="0" t="n">
        <v>0.012</v>
      </c>
      <c r="G34" s="0" t="n">
        <f aca="false">D34-C34</f>
        <v>13.9</v>
      </c>
      <c r="H34" s="0" t="n">
        <f aca="false">H33</f>
        <v>0.0966666666666667</v>
      </c>
      <c r="I34" s="0" t="n">
        <f aca="false">H34*G34*E34</f>
        <v>1.380762616</v>
      </c>
      <c r="J34" s="0" t="n">
        <f aca="false">I34/A34</f>
        <v>2.46564752857143</v>
      </c>
    </row>
    <row r="35" customFormat="false" ht="14.25" hidden="false" customHeight="false" outlineLevel="0" collapsed="false">
      <c r="A35" s="0" t="n">
        <v>0.525</v>
      </c>
      <c r="B35" s="0" t="n">
        <v>3</v>
      </c>
      <c r="C35" s="0" t="n">
        <v>14.4</v>
      </c>
      <c r="D35" s="0" t="n">
        <v>26.2</v>
      </c>
      <c r="E35" s="0" t="n">
        <f aca="false">E34</f>
        <v>1.027608</v>
      </c>
      <c r="F35" s="0" t="n">
        <f aca="false">F34</f>
        <v>0.012</v>
      </c>
      <c r="G35" s="0" t="n">
        <f aca="false">D35-C35</f>
        <v>11.8</v>
      </c>
      <c r="H35" s="0" t="n">
        <f aca="false">H34</f>
        <v>0.0966666666666667</v>
      </c>
      <c r="I35" s="0" t="n">
        <f aca="false">H35*G35*E35</f>
        <v>1.172158192</v>
      </c>
      <c r="J35" s="0" t="n">
        <f aca="false">I35/A35</f>
        <v>2.23268227047619</v>
      </c>
    </row>
    <row r="36" customFormat="false" ht="14.25" hidden="false" customHeight="false" outlineLevel="0" collapsed="false">
      <c r="A36" s="0" t="n">
        <v>0.56</v>
      </c>
      <c r="B36" s="0" t="n">
        <v>6.8</v>
      </c>
      <c r="C36" s="0" t="n">
        <v>16.6</v>
      </c>
      <c r="D36" s="0" t="n">
        <v>29.3</v>
      </c>
      <c r="E36" s="0" t="n">
        <f aca="false">E35</f>
        <v>1.027608</v>
      </c>
      <c r="F36" s="0" t="n">
        <f aca="false">F35</f>
        <v>0.012</v>
      </c>
      <c r="G36" s="0" t="n">
        <f aca="false">D36-C36</f>
        <v>12.7</v>
      </c>
      <c r="H36" s="0" t="n">
        <f aca="false">H35</f>
        <v>0.0966666666666667</v>
      </c>
      <c r="I36" s="0" t="n">
        <f aca="false">H36*G36*E36</f>
        <v>1.261560088</v>
      </c>
      <c r="J36" s="0" t="n">
        <f aca="false">I36/A36</f>
        <v>2.25278587142857</v>
      </c>
    </row>
    <row r="37" customFormat="false" ht="14.25" hidden="false" customHeight="false" outlineLevel="0" collapsed="false">
      <c r="A37" s="0" t="n">
        <v>0.54</v>
      </c>
      <c r="B37" s="0" t="n">
        <v>6.4</v>
      </c>
      <c r="C37" s="0" t="n">
        <v>15.7</v>
      </c>
      <c r="D37" s="0" t="n">
        <v>30.2</v>
      </c>
      <c r="E37" s="0" t="n">
        <f aca="false">E36</f>
        <v>1.027608</v>
      </c>
      <c r="F37" s="0" t="n">
        <f aca="false">F36</f>
        <v>0.012</v>
      </c>
      <c r="G37" s="0" t="n">
        <f aca="false">D37-C37</f>
        <v>14.5</v>
      </c>
      <c r="H37" s="0" t="n">
        <f aca="false">H36</f>
        <v>0.0966666666666667</v>
      </c>
      <c r="I37" s="0" t="n">
        <f aca="false">H37*G37*E37</f>
        <v>1.44036388</v>
      </c>
      <c r="J37" s="0" t="n">
        <f aca="false">I37/A37</f>
        <v>2.66734051851852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87" zoomScaleNormal="87" zoomScalePageLayoutView="100" workbookViewId="0">
      <selection pane="topLeft" activeCell="Y26" activeCellId="0" sqref="Y26"/>
    </sheetView>
  </sheetViews>
  <sheetFormatPr defaultRowHeight="12.8" zeroHeight="false" outlineLevelRow="0" outlineLevelCol="0"/>
  <cols>
    <col collapsed="false" customWidth="true" hidden="false" outlineLevel="0" max="1025" min="1" style="0" width="8.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77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C3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6" activeCellId="0" sqref="D86"/>
    </sheetView>
  </sheetViews>
  <sheetFormatPr defaultRowHeight="14.25" zeroHeight="false" outlineLevelRow="0" outlineLevelCol="0"/>
  <cols>
    <col collapsed="false" customWidth="true" hidden="false" outlineLevel="0" max="2" min="1" style="0" width="8.67"/>
    <col collapsed="false" customWidth="true" hidden="false" outlineLevel="0" max="3" min="3" style="0" width="11.72"/>
    <col collapsed="false" customWidth="true" hidden="false" outlineLevel="0" max="1025" min="4" style="0" width="8.67"/>
  </cols>
  <sheetData>
    <row r="3" customFormat="false" ht="14.25" hidden="false" customHeight="false" outlineLevel="0" collapsed="false">
      <c r="C3" s="0" t="n">
        <v>12345567890</v>
      </c>
    </row>
    <row r="4" customFormat="false" ht="14.25" hidden="false" customHeight="false" outlineLevel="0" collapsed="false">
      <c r="C4" s="0" t="n">
        <v>1098</v>
      </c>
    </row>
    <row r="5" customFormat="false" ht="14.25" hidden="false" customHeight="false" outlineLevel="0" collapsed="false">
      <c r="C5" s="0" t="n">
        <v>1.22222222222222E+058</v>
      </c>
    </row>
    <row r="34" customFormat="false" ht="14.25" hidden="false" customHeight="false" outlineLevel="0" collapsed="false">
      <c r="C34" s="0" t="n">
        <v>9E+127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LibreOffice/6.2.4.2$Windows_X86_64 LibreOffice_project/2412653d852ce75f65fbfa83fb7e7b669a126d64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2024-10-12T19:24:56Z</dcterms:created>
  <dc:creator>Bryce</dc:creator>
  <dc:description/>
  <dc:language>en-GB</dc:language>
  <cp:lastModifiedBy/>
  <dcterms:modified xsi:type="dcterms:W3CDTF">2026-08-28T14:52:38Z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